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vicenma\Desktop\aplic\"/>
    </mc:Choice>
  </mc:AlternateContent>
  <xr:revisionPtr revIDLastSave="0" documentId="13_ncr:1_{8B0A7FAA-D12A-41D3-A05F-5BD2E9B1B24F}" xr6:coauthVersionLast="47" xr6:coauthVersionMax="47" xr10:uidLastSave="{00000000-0000-0000-0000-000000000000}"/>
  <bookViews>
    <workbookView xWindow="-120" yWindow="-120" windowWidth="29040" windowHeight="15840" tabRatio="795" xr2:uid="{00000000-000D-0000-FFFF-FFFF00000000}"/>
  </bookViews>
  <sheets>
    <sheet name="PIB PER CÁPITA" sheetId="2" r:id="rId1"/>
    <sheet name="POBLACIÓN Y %" sheetId="8" r:id="rId2"/>
  </sheets>
  <definedNames>
    <definedName name="_xlnm.Print_Area" localSheetId="0">'PIB PER CÁPITA'!$A$1:$B$36</definedName>
    <definedName name="_xlnm.Print_Titles" localSheetId="0">'PIB PER CÁPITA'!$B:$B,'PIB PER CÁPITA'!$1:$6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8" l="1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</calcChain>
</file>

<file path=xl/sharedStrings.xml><?xml version="1.0" encoding="utf-8"?>
<sst xmlns="http://schemas.openxmlformats.org/spreadsheetml/2006/main" count="62" uniqueCount="60">
  <si>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</si>
  <si>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</si>
  <si>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</si>
  <si>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</si>
  <si>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</si>
  <si>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</si>
  <si>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</si>
  <si>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</si>
  <si>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</si>
  <si>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Total Nacional</t>
  </si>
  <si>
    <t>PIB per cápita</t>
  </si>
  <si>
    <t>Índice España = 100</t>
  </si>
  <si>
    <t>COMUNITAT VALENCIANA</t>
  </si>
  <si>
    <t>Valor</t>
  </si>
  <si>
    <t>Unidad: Euros</t>
  </si>
  <si>
    <t>Comunidad Autónoma</t>
  </si>
  <si>
    <t>Tasa de Variación Interanual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</si>
  <si>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</si>
  <si>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</si>
  <si>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</si>
  <si>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</si>
  <si>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</si>
  <si>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</si>
  <si>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</si>
  <si>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</si>
  <si>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</si>
  <si>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 xml:space="preserve">     Volver a Índice</t>
  </si>
  <si>
    <t>Coruña, A</t>
  </si>
  <si>
    <t>Notas:</t>
  </si>
  <si>
    <t>- Para el cálculo del PIB per cápita y como consecuencia del acuerdo entre los Estados miembros de la UE y Eurostat, el valor del PIB de la  Extra-Regio no se reparte entre el resto de los terrritorios regionales.</t>
  </si>
  <si>
    <t>Contabilidad Regional de España - Revisión Estadística 2024</t>
  </si>
  <si>
    <t>- Cifra de Población a 1 de Julio. Fuente: Estadística Continua de Población. Unidades: Personas</t>
  </si>
  <si>
    <t>Unidades: Personas</t>
  </si>
  <si>
    <t/>
  </si>
  <si>
    <t xml:space="preserve"> </t>
  </si>
  <si>
    <t>2017</t>
  </si>
  <si>
    <t>% AÑO 2017</t>
  </si>
  <si>
    <t xml:space="preserve">    Total</t>
  </si>
  <si>
    <t xml:space="preserve">    01 Andalucía</t>
  </si>
  <si>
    <t xml:space="preserve">    02 Aragón</t>
  </si>
  <si>
    <t xml:space="preserve">    03 Asturias, Principado de</t>
  </si>
  <si>
    <t xml:space="preserve">    04 Balears, Illes</t>
  </si>
  <si>
    <t xml:space="preserve">    05 Canarias</t>
  </si>
  <si>
    <t xml:space="preserve">    06 Cantabria</t>
  </si>
  <si>
    <t xml:space="preserve">    07 Castilla y León</t>
  </si>
  <si>
    <t xml:space="preserve">    08 Castilla - La Mancha</t>
  </si>
  <si>
    <t xml:space="preserve">    09 Cataluña</t>
  </si>
  <si>
    <t xml:space="preserve">    10 Comunitat Valenciana</t>
  </si>
  <si>
    <t xml:space="preserve">    11 Extremadura</t>
  </si>
  <si>
    <t xml:space="preserve">    12 Galicia</t>
  </si>
  <si>
    <t xml:space="preserve">    13 Madrid, Comunidad de</t>
  </si>
  <si>
    <t xml:space="preserve">    14 Murcia, Región de</t>
  </si>
  <si>
    <t xml:space="preserve">    15 Navarra, Comunidad Foral de</t>
  </si>
  <si>
    <t xml:space="preserve">    16 País Vasco</t>
  </si>
  <si>
    <t xml:space="preserve">    17 Rioja, La</t>
  </si>
  <si>
    <t xml:space="preserve">    18 Ceuta</t>
  </si>
  <si>
    <t xml:space="preserve">    19 Melilla</t>
  </si>
  <si>
    <t>Cifras oficiales de población resultantes de la revisión del Padrón municipal a 1 de enero</t>
  </si>
  <si>
    <t>Resumen por comunidades autónomas</t>
  </si>
  <si>
    <t>Población por comunidades y ciudades autónomas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</si>
</sst>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0"/>
      <name val="Arial"/>
    </font>
    <font>
      <sz val="10"/>
      <name val="Arial"/>
      <family val="2"/>
    </font>
    <font>
      <sz val="10"/>
      <name val="Univers"/>
      <family val="2"/>
    </font>
    <font>
      <sz val="10"/>
      <name val="Univers"/>
      <family val="2"/>
    </font>
    <font>
      <b/>
      <sz val="14"/>
      <name val="Univers"/>
      <family val="2"/>
    </font>
    <font>
      <b/>
      <sz val="14"/>
      <color indexed="58"/>
      <name val="Univers"/>
      <family val="2"/>
    </font>
    <font>
      <sz val="13"/>
      <name val="Univers"/>
      <family val="2"/>
    </font>
    <font>
      <b/>
      <sz val="11"/>
      <name val="Univers"/>
      <family val="2"/>
    </font>
    <font>
      <b/>
      <sz val="9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b/>
      <i/>
      <sz val="14"/>
      <name val="Univers"/>
      <family val="2"/>
    </font>
    <font>
      <b/>
      <sz val="11"/>
      <name val="Arial"/>
      <family val="2"/>
    </font>
    <font>
      <sz val="10"/>
      <name val="Arial Greek"/>
    </font>
    <font>
      <b/>
      <sz val="18"/>
      <color theme="1"/>
      <name val="Univers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</patternFill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left/>
      <right/>
      <top/>
      <bottom style="hair">
        <color indexed="51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theme="4" tint="0.59996337778862885"/>
      </top>
      <bottom style="hair">
        <color theme="4" tint="0.5999633777886288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vertical="center" wrapText="1"/>
    </xf>
    <xf numFmtId="0" fontId="9" fillId="0" borderId="1" xfId="0" applyFont="1" applyBorder="1"/>
    <xf numFmtId="3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0" fontId="0" fillId="2" borderId="0" xfId="2" applyNumberFormat="1" applyFont="1" applyFill="1" applyBorder="1"/>
    <xf numFmtId="0" fontId="2" fillId="2" borderId="0" xfId="1" applyFill="1" applyAlignment="1">
      <alignment horizontal="left" wrapText="1"/>
    </xf>
    <xf numFmtId="3" fontId="0" fillId="2" borderId="0" xfId="0" applyNumberFormat="1" applyFill="1"/>
    <xf numFmtId="0" fontId="9" fillId="0" borderId="2" xfId="0" applyFont="1" applyBorder="1"/>
    <xf numFmtId="164" fontId="10" fillId="0" borderId="3" xfId="0" applyNumberFormat="1" applyFont="1" applyBorder="1" applyAlignment="1">
      <alignment horizontal="right"/>
    </xf>
    <xf numFmtId="3" fontId="10" fillId="0" borderId="3" xfId="0" applyNumberFormat="1" applyFont="1" applyBorder="1" applyAlignment="1">
      <alignment horizontal="right"/>
    </xf>
    <xf numFmtId="0" fontId="3" fillId="2" borderId="0" xfId="1" applyFont="1" applyFill="1" applyAlignment="1">
      <alignment horizontal="left" wrapText="1"/>
    </xf>
    <xf numFmtId="0" fontId="3" fillId="2" borderId="0" xfId="0" quotePrefix="1" applyFont="1" applyFill="1" applyAlignment="1">
      <alignment horizontal="left" vertical="center" wrapText="1"/>
    </xf>
    <xf numFmtId="0" fontId="9" fillId="0" borderId="5" xfId="0" applyFont="1" applyBorder="1"/>
    <xf numFmtId="0" fontId="2" fillId="2" borderId="5" xfId="1" applyFill="1" applyBorder="1" applyAlignment="1">
      <alignment horizontal="left" wrapText="1"/>
    </xf>
    <xf numFmtId="3" fontId="10" fillId="0" borderId="5" xfId="0" applyNumberFormat="1" applyFont="1" applyBorder="1" applyAlignment="1">
      <alignment horizontal="right"/>
    </xf>
    <xf numFmtId="164" fontId="10" fillId="0" borderId="5" xfId="0" applyNumberFormat="1" applyFont="1" applyBorder="1" applyAlignment="1">
      <alignment horizontal="right"/>
    </xf>
    <xf numFmtId="0" fontId="4" fillId="4" borderId="0" xfId="0" applyFont="1" applyFill="1"/>
    <xf numFmtId="0" fontId="5" fillId="4" borderId="0" xfId="0" applyFont="1" applyFill="1" applyAlignment="1">
      <alignment vertical="top"/>
    </xf>
    <xf numFmtId="0" fontId="6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3" fontId="13" fillId="0" borderId="5" xfId="0" applyNumberFormat="1" applyFont="1" applyBorder="1" applyAlignment="1">
      <alignment horizontal="right"/>
    </xf>
    <xf numFmtId="164" fontId="13" fillId="0" borderId="5" xfId="0" applyNumberFormat="1" applyFont="1" applyBorder="1" applyAlignment="1">
      <alignment horizontal="right"/>
    </xf>
    <xf numFmtId="0" fontId="14" fillId="2" borderId="0" xfId="0" applyFont="1" applyFill="1" applyAlignment="1">
      <alignment vertical="center" wrapText="1"/>
    </xf>
    <xf numFmtId="0" fontId="2" fillId="2" borderId="0" xfId="0" quotePrefix="1" applyFont="1" applyFill="1" applyAlignment="1">
      <alignment horizontal="left" vertical="center" wrapText="1"/>
    </xf>
    <xf numFmtId="0" fontId="0" fillId="6" borderId="6" xfId="0" applyFill="1" applyBorder="1"/>
    <xf numFmtId="0" fontId="16" fillId="7" borderId="6" xfId="0" applyFont="1" applyFill="1" applyBorder="1" applyAlignment="1">
      <alignment horizontal="left"/>
    </xf>
    <xf numFmtId="3" fontId="18" fillId="8" borderId="7" xfId="0" applyNumberFormat="1" applyFont="1" applyFill="1" applyBorder="1" applyAlignment="1">
      <alignment horizontal="right"/>
    </xf>
    <xf numFmtId="2" fontId="0" fillId="0" borderId="0" xfId="0" applyNumberFormat="1"/>
    <xf numFmtId="0" fontId="7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5" borderId="6" xfId="0" applyFont="1" applyFill="1" applyBorder="1"/>
    <xf numFmtId="0" fontId="16" fillId="5" borderId="6" xfId="0" applyFont="1" applyFill="1" applyBorder="1"/>
    <xf numFmtId="0" fontId="17" fillId="5" borderId="6" xfId="0" applyFont="1" applyFill="1" applyBorder="1"/>
    <xf numFmtId="0" fontId="16" fillId="7" borderId="6" xfId="0" applyFont="1" applyFill="1" applyBorder="1"/>
    <xf numFmtId="0" fontId="15" fillId="6" borderId="8" xfId="0" applyFont="1" applyFill="1" applyBorder="1" applyAlignment="1">
      <alignment horizontal="center"/>
    </xf>
    <xf numFmtId="0" fontId="15" fillId="6" borderId="0" xfId="0" applyFont="1" applyFill="1" applyBorder="1" applyAlignment="1">
      <alignment horizontal="center"/>
    </xf>
    <xf numFmtId="0" fontId="16" fillId="6" borderId="6" xfId="0" applyFont="1" applyFill="1" applyBorder="1" applyAlignment="1"/>
    <xf numFmtId="0" fontId="16" fillId="7" borderId="6" xfId="0" applyFont="1" applyFill="1" applyBorder="1" applyAlignment="1"/>
    <xf numFmtId="3" fontId="18" fillId="8" borderId="6" xfId="0" applyNumberFormat="1" applyFont="1" applyFill="1" applyBorder="1" applyAlignment="1"/>
    <xf numFmtId="0" fontId="0" fillId="0" borderId="0" xfId="0" applyAlignment="1"/>
    <xf numFmtId="9" fontId="0" fillId="0" borderId="0" xfId="0" applyNumberFormat="1" applyAlignment="1">
      <alignment horizontal="center"/>
    </xf>
  </cellXfs>
  <cellStyles count="3">
    <cellStyle name="Normal" xfId="0" builtinId="0"/>
    <cellStyle name="Normal_cuadrosWEB" xfId="1" xr:uid="{00000000-0005-0000-0000-000001000000}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1">
    <outlinePr summaryBelow="0" summaryRight="0"/>
  </sheetPr>
  <dimension ref="B1:J37"/>
  <sheetViews>
    <sheetView showGridLines="0" tabSelected="1" zoomScale="80" zoomScaleNormal="80" workbookViewId="0">
      <pane xSplit="2" ySplit="6" topLeftCell="C7" activePane="bottomRight" state="frozen"/>
      <selection activeCell="CP1" sqref="CP1:CP65536"/>
      <selection pane="topRight" activeCell="CP1" sqref="CP1:CP65536"/>
      <selection pane="bottomLeft" activeCell="CP1" sqref="CP1:CP65536"/>
      <selection pane="bottomRight" activeCell="B5" sqref="B5:B6"/>
    </sheetView>
  </sheetViews>
  <sheetFormatPr baseColWidth="10" defaultColWidth="11.5703125" defaultRowHeight="12.75" outlineLevelRow="1"/>
  <cols>
    <col min="1" max="1" width="1.7109375" style="1" customWidth="1"/>
    <col min="2" max="2" width="42.5703125" style="1" customWidth="1"/>
    <col min="3" max="4" width="0.7109375" style="1" customWidth="1"/>
    <col min="5" max="7" width="11.5703125" style="1"/>
    <col min="8" max="10" width="0.7109375" style="1" customWidth="1"/>
    <col min="11" max="16384" width="11.5703125" style="1"/>
  </cols>
  <sheetData>
    <row r="1" spans="2:10" ht="77.25" customHeight="1">
      <c r="B1" s="26" t="s">
        <v>30</v>
      </c>
    </row>
    <row r="2" spans="2:10" s="2" customFormat="1" ht="18.75">
      <c r="B2" s="19"/>
      <c r="C2" s="19"/>
      <c r="D2" s="19"/>
      <c r="E2" s="19"/>
      <c r="F2" s="19"/>
      <c r="G2" s="19"/>
      <c r="H2" s="19"/>
      <c r="I2" s="19"/>
      <c r="J2" s="19"/>
    </row>
    <row r="3" spans="2:10" s="2" customFormat="1" ht="18.75">
      <c r="B3" s="20" t="s">
        <v>10</v>
      </c>
      <c r="C3" s="19"/>
      <c r="D3" s="19"/>
      <c r="E3" s="19"/>
      <c r="F3" s="19"/>
      <c r="G3" s="19"/>
      <c r="H3" s="19"/>
      <c r="I3" s="19"/>
      <c r="J3" s="19"/>
    </row>
    <row r="4" spans="2:10" s="2" customFormat="1" ht="18.75">
      <c r="B4" s="21" t="s">
        <v>14</v>
      </c>
      <c r="C4" s="19"/>
      <c r="D4" s="19"/>
      <c r="E4" s="19"/>
      <c r="F4" s="19"/>
      <c r="G4" s="19"/>
      <c r="H4" s="19"/>
      <c r="I4" s="19"/>
      <c r="J4" s="19"/>
    </row>
    <row r="5" spans="2:10" s="3" customFormat="1" ht="24" customHeight="1">
      <c r="B5" s="32" t="s">
        <v>15</v>
      </c>
      <c r="E5" s="32">
        <v>2017</v>
      </c>
      <c r="F5" s="32"/>
      <c r="G5" s="32"/>
    </row>
    <row r="6" spans="2:10" ht="39.950000000000003" customHeight="1">
      <c r="B6" s="33"/>
      <c r="E6" s="22" t="s">
        <v>13</v>
      </c>
      <c r="F6" s="22" t="s">
        <v>11</v>
      </c>
      <c r="G6" s="22" t="s">
        <v>16</v>
      </c>
    </row>
    <row r="7" spans="2:10" ht="15">
      <c r="B7" s="15" t="s">
        <v>0</v>
      </c>
      <c r="C7" s="7"/>
      <c r="D7" s="7"/>
      <c r="E7" s="17">
        <v>18691</v>
      </c>
      <c r="F7" s="18">
        <v>0.7430036571792018</v>
      </c>
      <c r="G7" s="18">
        <v>4.6235656311223172E-2</v>
      </c>
      <c r="H7" s="7"/>
      <c r="I7" s="7"/>
      <c r="J7" s="7"/>
    </row>
    <row r="8" spans="2:10" ht="15">
      <c r="B8" s="15" t="s">
        <v>1</v>
      </c>
      <c r="E8" s="17">
        <v>27357</v>
      </c>
      <c r="F8" s="18">
        <v>1.0874940372078232</v>
      </c>
      <c r="G8" s="18">
        <v>4.2449415082117081E-2</v>
      </c>
    </row>
    <row r="9" spans="2:10" ht="15">
      <c r="B9" s="15" t="s">
        <v>17</v>
      </c>
      <c r="E9" s="17">
        <v>21897</v>
      </c>
      <c r="F9" s="18">
        <v>0.87044840197169659</v>
      </c>
      <c r="G9" s="18">
        <v>4.7052072873332351E-2</v>
      </c>
    </row>
    <row r="10" spans="2:10" ht="15">
      <c r="B10" s="15" t="s">
        <v>18</v>
      </c>
      <c r="E10" s="17">
        <v>28001</v>
      </c>
      <c r="F10" s="18">
        <v>1.1130942916202895</v>
      </c>
      <c r="G10" s="18">
        <v>4.0078746006983135E-2</v>
      </c>
    </row>
    <row r="11" spans="2:10" ht="15">
      <c r="B11" s="15" t="s">
        <v>2</v>
      </c>
      <c r="E11" s="17">
        <v>20296</v>
      </c>
      <c r="F11" s="18">
        <v>0.80680553347114004</v>
      </c>
      <c r="G11" s="18">
        <v>4.3496143958868805E-2</v>
      </c>
    </row>
    <row r="12" spans="2:10" ht="15">
      <c r="B12" s="15" t="s">
        <v>3</v>
      </c>
      <c r="E12" s="17">
        <v>22922</v>
      </c>
      <c r="F12" s="18">
        <v>0.91119414851327718</v>
      </c>
      <c r="G12" s="18">
        <v>3.8510329829648526E-2</v>
      </c>
    </row>
    <row r="13" spans="2:10" ht="15">
      <c r="B13" s="15" t="s">
        <v>4</v>
      </c>
      <c r="E13" s="17">
        <v>23076</v>
      </c>
      <c r="F13" s="18">
        <v>0.91731594848147557</v>
      </c>
      <c r="G13" s="18">
        <v>3.1606240779650463E-2</v>
      </c>
    </row>
    <row r="14" spans="2:10" ht="15">
      <c r="B14" s="15" t="s">
        <v>19</v>
      </c>
      <c r="E14" s="17">
        <v>20043</v>
      </c>
      <c r="F14" s="18">
        <v>0.79674829066624264</v>
      </c>
      <c r="G14" s="18">
        <v>4.6686511044963241E-2</v>
      </c>
    </row>
    <row r="15" spans="2:10" ht="15">
      <c r="B15" s="15" t="s">
        <v>5</v>
      </c>
      <c r="E15" s="17">
        <v>29770</v>
      </c>
      <c r="F15" s="18">
        <v>1.1834154873588807</v>
      </c>
      <c r="G15" s="18">
        <v>3.4362947778048047E-2</v>
      </c>
    </row>
    <row r="16" spans="2:10" ht="15">
      <c r="B16" s="15" t="s">
        <v>12</v>
      </c>
      <c r="E16" s="17">
        <v>21996</v>
      </c>
      <c r="F16" s="18">
        <v>0.87438384480839559</v>
      </c>
      <c r="G16" s="18">
        <v>4.1970630033159706E-2</v>
      </c>
    </row>
    <row r="17" spans="2:10" ht="15">
      <c r="B17" s="15" t="s">
        <v>6</v>
      </c>
      <c r="E17" s="17">
        <v>18761</v>
      </c>
      <c r="F17" s="18">
        <v>0.74578629352838288</v>
      </c>
      <c r="G17" s="18">
        <v>6.4997729336966348E-2</v>
      </c>
    </row>
    <row r="18" spans="2:10" ht="15">
      <c r="B18" s="15" t="s">
        <v>7</v>
      </c>
      <c r="E18" s="17">
        <v>22433</v>
      </c>
      <c r="F18" s="18">
        <v>0.89175544601685486</v>
      </c>
      <c r="G18" s="18">
        <v>3.8853385199592472E-2</v>
      </c>
    </row>
    <row r="19" spans="2:10" ht="12.75" customHeight="1" outlineLevel="1">
      <c r="B19" s="16" t="s">
        <v>27</v>
      </c>
      <c r="E19" s="24">
        <v>23331</v>
      </c>
      <c r="F19" s="18">
        <v>0.92745269518206397</v>
      </c>
      <c r="G19" s="25">
        <v>2.7344782034346204E-2</v>
      </c>
    </row>
    <row r="20" spans="2:10" ht="15">
      <c r="B20" s="15" t="s">
        <v>20</v>
      </c>
      <c r="E20" s="17">
        <v>34592</v>
      </c>
      <c r="F20" s="18">
        <v>1.3750993798696136</v>
      </c>
      <c r="G20" s="18">
        <v>3.7241379310344769E-2</v>
      </c>
    </row>
    <row r="21" spans="2:10" ht="15">
      <c r="B21" s="15" t="s">
        <v>21</v>
      </c>
      <c r="E21" s="17">
        <v>21128</v>
      </c>
      <c r="F21" s="18">
        <v>0.83987915407854985</v>
      </c>
      <c r="G21" s="18">
        <v>3.5584746593471328E-2</v>
      </c>
    </row>
    <row r="22" spans="2:10" ht="15">
      <c r="B22" s="15" t="s">
        <v>22</v>
      </c>
      <c r="E22" s="17">
        <v>30631</v>
      </c>
      <c r="F22" s="18">
        <v>1.2176419144538082</v>
      </c>
      <c r="G22" s="18">
        <v>3.6371633509270529E-2</v>
      </c>
    </row>
    <row r="23" spans="2:10" ht="15">
      <c r="B23" s="15" t="s">
        <v>8</v>
      </c>
      <c r="E23" s="17">
        <v>31891</v>
      </c>
      <c r="F23" s="18">
        <v>1.2677293687390683</v>
      </c>
      <c r="G23" s="18">
        <v>3.4313884474426848E-2</v>
      </c>
    </row>
    <row r="24" spans="2:10" ht="15">
      <c r="B24" s="15" t="s">
        <v>23</v>
      </c>
      <c r="E24" s="17">
        <v>26585</v>
      </c>
      <c r="F24" s="18">
        <v>1.0568055334711401</v>
      </c>
      <c r="G24" s="18">
        <v>3.3912806751448699E-2</v>
      </c>
    </row>
    <row r="25" spans="2:10" ht="15">
      <c r="B25" s="15" t="s">
        <v>24</v>
      </c>
      <c r="E25" s="17">
        <v>18262</v>
      </c>
      <c r="F25" s="18">
        <v>0.7259500715535061</v>
      </c>
      <c r="G25" s="18">
        <v>5.8936931974662432E-3</v>
      </c>
    </row>
    <row r="26" spans="2:10" ht="15">
      <c r="B26" s="4" t="s">
        <v>25</v>
      </c>
      <c r="E26" s="5">
        <v>17051</v>
      </c>
      <c r="F26" s="18">
        <v>0.67781046271267287</v>
      </c>
      <c r="G26" s="6">
        <v>4.2405324224041863E-3</v>
      </c>
    </row>
    <row r="27" spans="2:10" ht="15" customHeight="1">
      <c r="B27" s="10" t="s">
        <v>9</v>
      </c>
      <c r="C27" s="9"/>
      <c r="D27" s="9"/>
      <c r="E27" s="12">
        <v>25156</v>
      </c>
      <c r="F27" s="11">
        <v>1</v>
      </c>
      <c r="G27" s="11">
        <v>4.0019844551016925E-2</v>
      </c>
      <c r="H27" s="9"/>
      <c r="I27" s="9"/>
      <c r="J27" s="9"/>
    </row>
    <row r="28" spans="2:10">
      <c r="B28" s="13"/>
    </row>
    <row r="29" spans="2:10" ht="7.5" customHeight="1">
      <c r="B29" s="13"/>
    </row>
    <row r="30" spans="2:10">
      <c r="B30" s="13" t="s">
        <v>28</v>
      </c>
    </row>
    <row r="31" spans="2:10" ht="5.25" customHeight="1">
      <c r="B31" s="8"/>
    </row>
    <row r="32" spans="2:10" ht="79.5" customHeight="1">
      <c r="B32" s="14" t="s">
        <v>29</v>
      </c>
    </row>
    <row r="33" spans="2:2" ht="2.4500000000000002" customHeight="1">
      <c r="B33" s="8"/>
    </row>
    <row r="34" spans="2:2" ht="45" customHeight="1">
      <c r="B34" s="27" t="s">
        <v>31</v>
      </c>
    </row>
    <row r="35" spans="2:2" ht="13.5" thickBot="1"/>
    <row r="36" spans="2:2" ht="20.25" thickTop="1" thickBot="1">
      <c r="B36" s="23" t="s">
        <v>26</v>
      </c>
    </row>
    <row r="37" spans="2:2" ht="13.5" thickTop="1"/>
  </sheetData>
  <mergeCells count="2">
    <mergeCell ref="B5:B6"/>
    <mergeCell ref="E5:G5"/>
  </mergeCells>
  <phoneticPr fontId="0" type="noConversion"/>
  <hyperlinks>
    <hyperlink ref="B36" location="Índice!A1" display="     Volver a Tablas" xr:uid="{00000000-0004-0000-0000-000000000000}"/>
  </hyperlinks>
  <pageMargins left="0.47244094488188981" right="0.19685039370078741" top="0.31496062992125984" bottom="0.35433070866141736" header="0" footer="0"/>
  <pageSetup paperSize="9"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F7" sqref="F7"/>
    </sheetView>
  </sheetViews>
  <sheetFormatPr baseColWidth="10" defaultRowHeight="12.75"/>
  <cols>
    <col min="1" max="1" width="35.5703125" customWidth="1"/>
    <col min="2" max="2" width="24.5703125" style="43" customWidth="1"/>
    <col min="3" max="3" width="21.28515625" customWidth="1"/>
  </cols>
  <sheetData>
    <row r="1" spans="1:4" ht="15">
      <c r="A1" s="38" t="s">
        <v>57</v>
      </c>
      <c r="B1" s="39"/>
      <c r="C1" s="39"/>
      <c r="D1" s="39"/>
    </row>
    <row r="2" spans="1:4">
      <c r="A2" s="37" t="s">
        <v>58</v>
      </c>
      <c r="B2" s="37"/>
    </row>
    <row r="3" spans="1:4" ht="15">
      <c r="A3" s="36" t="s">
        <v>33</v>
      </c>
      <c r="B3" s="36"/>
    </row>
    <row r="4" spans="1:4" ht="15">
      <c r="A4" s="34" t="s">
        <v>59</v>
      </c>
      <c r="B4" s="34"/>
    </row>
    <row r="5" spans="1:4">
      <c r="A5" s="35" t="s">
        <v>32</v>
      </c>
      <c r="B5" s="35"/>
    </row>
    <row r="6" spans="1:4" ht="15">
      <c r="A6" s="36" t="s">
        <v>33</v>
      </c>
      <c r="B6" s="36"/>
    </row>
    <row r="7" spans="1:4">
      <c r="A7" s="28" t="s">
        <v>34</v>
      </c>
      <c r="B7" s="40"/>
    </row>
    <row r="8" spans="1:4">
      <c r="A8" s="28" t="s">
        <v>34</v>
      </c>
      <c r="B8" s="41" t="s">
        <v>35</v>
      </c>
      <c r="C8" s="44" t="s">
        <v>36</v>
      </c>
    </row>
    <row r="9" spans="1:4">
      <c r="A9" s="29" t="s">
        <v>37</v>
      </c>
      <c r="B9" s="42">
        <v>46572132</v>
      </c>
      <c r="C9" s="30">
        <v>100</v>
      </c>
    </row>
    <row r="10" spans="1:4">
      <c r="A10" s="29" t="s">
        <v>38</v>
      </c>
      <c r="B10" s="42">
        <v>8379820</v>
      </c>
      <c r="C10" s="31">
        <f>B10/$B$9*100</f>
        <v>17.993206752913952</v>
      </c>
    </row>
    <row r="11" spans="1:4">
      <c r="A11" s="29" t="s">
        <v>39</v>
      </c>
      <c r="B11" s="42">
        <v>1308750</v>
      </c>
      <c r="C11" s="31">
        <f>B11/$B$9*100</f>
        <v>2.8101569410650988</v>
      </c>
    </row>
    <row r="12" spans="1:4">
      <c r="A12" s="29" t="s">
        <v>40</v>
      </c>
      <c r="B12" s="42">
        <v>1034960</v>
      </c>
      <c r="C12" s="31">
        <f>B12/$B$9*100</f>
        <v>2.222273182597696</v>
      </c>
    </row>
    <row r="13" spans="1:4">
      <c r="A13" s="29" t="s">
        <v>41</v>
      </c>
      <c r="B13" s="42">
        <v>1115999</v>
      </c>
      <c r="C13" s="31">
        <f>B13/$B$9*100</f>
        <v>2.3962806770366449</v>
      </c>
    </row>
    <row r="14" spans="1:4">
      <c r="A14" s="29" t="s">
        <v>42</v>
      </c>
      <c r="B14" s="42">
        <v>2108121</v>
      </c>
      <c r="C14" s="31">
        <f>B14/$B$9*100</f>
        <v>4.5265718133754325</v>
      </c>
    </row>
    <row r="15" spans="1:4">
      <c r="A15" s="29" t="s">
        <v>43</v>
      </c>
      <c r="B15" s="42">
        <v>580295</v>
      </c>
      <c r="C15" s="31">
        <f>B15/$B$9*100</f>
        <v>1.2460133884358138</v>
      </c>
    </row>
    <row r="16" spans="1:4">
      <c r="A16" s="29" t="s">
        <v>44</v>
      </c>
      <c r="B16" s="42">
        <v>2425801</v>
      </c>
      <c r="C16" s="31">
        <f>B16/$B$9*100</f>
        <v>5.2086964796887552</v>
      </c>
    </row>
    <row r="17" spans="1:3">
      <c r="A17" s="29" t="s">
        <v>45</v>
      </c>
      <c r="B17" s="42">
        <v>2031479</v>
      </c>
      <c r="C17" s="31">
        <f>B17/$B$9*100</f>
        <v>4.3620055873757293</v>
      </c>
    </row>
    <row r="18" spans="1:3">
      <c r="A18" s="29" t="s">
        <v>46</v>
      </c>
      <c r="B18" s="42">
        <v>7555830</v>
      </c>
      <c r="C18" s="31">
        <f>B18/$B$9*100</f>
        <v>16.223929795612534</v>
      </c>
    </row>
    <row r="19" spans="1:3">
      <c r="A19" s="29" t="s">
        <v>47</v>
      </c>
      <c r="B19" s="42">
        <v>4941509</v>
      </c>
      <c r="C19" s="31">
        <f>B19/$B$9*100</f>
        <v>10.610441884000501</v>
      </c>
    </row>
    <row r="20" spans="1:3">
      <c r="A20" s="29" t="s">
        <v>48</v>
      </c>
      <c r="B20" s="42">
        <v>1079920</v>
      </c>
      <c r="C20" s="31">
        <f>B20/$B$9*100</f>
        <v>2.3188116017535982</v>
      </c>
    </row>
    <row r="21" spans="1:3">
      <c r="A21" s="29" t="s">
        <v>49</v>
      </c>
      <c r="B21" s="42">
        <v>2708339</v>
      </c>
      <c r="C21" s="31">
        <f>B21/$B$9*100</f>
        <v>5.8153640035203891</v>
      </c>
    </row>
    <row r="22" spans="1:3">
      <c r="A22" s="29" t="s">
        <v>50</v>
      </c>
      <c r="B22" s="42">
        <v>6507184</v>
      </c>
      <c r="C22" s="31">
        <f>B22/$B$9*100</f>
        <v>13.97226994031538</v>
      </c>
    </row>
    <row r="23" spans="1:3">
      <c r="A23" s="29" t="s">
        <v>51</v>
      </c>
      <c r="B23" s="42">
        <v>1470273</v>
      </c>
      <c r="C23" s="31">
        <f>B23/$B$9*100</f>
        <v>3.1569802301513703</v>
      </c>
    </row>
    <row r="24" spans="1:3">
      <c r="A24" s="29" t="s">
        <v>52</v>
      </c>
      <c r="B24" s="42">
        <v>643234</v>
      </c>
      <c r="C24" s="31">
        <f>B24/$B$9*100</f>
        <v>1.381156439219918</v>
      </c>
    </row>
    <row r="25" spans="1:3">
      <c r="A25" s="29" t="s">
        <v>53</v>
      </c>
      <c r="B25" s="42">
        <v>2194158</v>
      </c>
      <c r="C25" s="31">
        <f>B25/$B$9*100</f>
        <v>4.7113110475595148</v>
      </c>
    </row>
    <row r="26" spans="1:3">
      <c r="A26" s="29" t="s">
        <v>54</v>
      </c>
      <c r="B26" s="42">
        <v>315381</v>
      </c>
      <c r="C26" s="31">
        <f>B26/$B$9*100</f>
        <v>0.67718823780710746</v>
      </c>
    </row>
    <row r="27" spans="1:3">
      <c r="A27" s="29" t="s">
        <v>55</v>
      </c>
      <c r="B27" s="42">
        <v>84959</v>
      </c>
      <c r="C27" s="31">
        <f>B27/$B$9*100</f>
        <v>0.18242454521944582</v>
      </c>
    </row>
    <row r="28" spans="1:3">
      <c r="A28" s="29" t="s">
        <v>56</v>
      </c>
      <c r="B28" s="42">
        <v>86120</v>
      </c>
      <c r="C28" s="31">
        <f>B28/$B$9*100</f>
        <v>0.18491745235111848</v>
      </c>
    </row>
  </sheetData>
  <mergeCells count="6">
    <mergeCell ref="A4:B4"/>
    <mergeCell ref="A5:B5"/>
    <mergeCell ref="A6:B6"/>
    <mergeCell ref="A2:B2"/>
    <mergeCell ref="A3:B3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PIB PER CÁPITA</vt:lpstr>
      <vt:lpstr>POBLACIÓN Y %</vt:lpstr>
      <vt:lpstr>'PIB PER CÁPITA'!Área_de_impresión</vt:lpstr>
      <vt:lpstr>'PIB PER CÁPITA'!Títulos_a_imprimir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Vicente Martín, Ana Belén</cp:lastModifiedBy>
  <cp:lastPrinted>2012-12-27T17:37:50Z</cp:lastPrinted>
  <dcterms:created xsi:type="dcterms:W3CDTF">2005-12-21T09:04:58Z</dcterms:created>
  <dcterms:modified xsi:type="dcterms:W3CDTF">2026-04-09T10:58:15Z</dcterms:modified>
</cp:coreProperties>
</file>